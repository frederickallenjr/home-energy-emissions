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kallen/Desktop/data_analytics/datasets/Home Energy/"/>
    </mc:Choice>
  </mc:AlternateContent>
  <xr:revisionPtr revIDLastSave="0" documentId="13_ncr:1_{73EAD12B-6D6A-8F4A-AB47-77F373F37225}" xr6:coauthVersionLast="47" xr6:coauthVersionMax="47" xr10:uidLastSave="{00000000-0000-0000-0000-000000000000}"/>
  <bookViews>
    <workbookView xWindow="31460" yWindow="-8100" windowWidth="30280" windowHeight="18120" activeTab="1" xr2:uid="{9FC76642-F67F-3446-92F8-48DE2D6B41EC}"/>
  </bookViews>
  <sheets>
    <sheet name="natural_gas" sheetId="1" r:id="rId1"/>
    <sheet name="electric" sheetId="2" r:id="rId2"/>
    <sheet name="Monthly Footprin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B2" i="3"/>
  <c r="C2" i="3"/>
  <c r="D2" i="3"/>
  <c r="B3" i="3"/>
  <c r="D3" i="3" s="1"/>
  <c r="C3" i="3"/>
  <c r="B4" i="3"/>
  <c r="D4" i="3" s="1"/>
  <c r="C4" i="3"/>
  <c r="B5" i="3"/>
  <c r="D5" i="3"/>
  <c r="B6" i="3"/>
  <c r="C6" i="3"/>
  <c r="D6" i="3"/>
  <c r="J3" i="2"/>
  <c r="J4" i="2"/>
  <c r="J5" i="2"/>
  <c r="J6" i="2"/>
  <c r="J2" i="2"/>
  <c r="H3" i="2"/>
  <c r="H4" i="2"/>
  <c r="H5" i="2"/>
  <c r="H6" i="2"/>
  <c r="H2" i="2"/>
  <c r="J3" i="1"/>
  <c r="J4" i="1"/>
  <c r="J5" i="1"/>
  <c r="J6" i="1"/>
  <c r="J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<sst xmlns="http://schemas.openxmlformats.org/spreadsheetml/2006/main" count="44" uniqueCount="17">
  <si>
    <t>month_key</t>
  </si>
  <si>
    <t>billing_start</t>
  </si>
  <si>
    <t>billing_end</t>
  </si>
  <si>
    <t>utility</t>
  </si>
  <si>
    <t>usage_value</t>
  </si>
  <si>
    <t>usage_unit</t>
  </si>
  <si>
    <t>cost_usd</t>
  </si>
  <si>
    <t>emissions_factor</t>
  </si>
  <si>
    <t>co2e_metric_tons</t>
  </si>
  <si>
    <t>NW Natural</t>
  </si>
  <si>
    <t>therms</t>
  </si>
  <si>
    <t>cost_per_unit</t>
  </si>
  <si>
    <t>PGE</t>
  </si>
  <si>
    <t>kWh</t>
  </si>
  <si>
    <t>co2e_metric_tons_gas</t>
  </si>
  <si>
    <t>co2e_metric_tons_electric</t>
  </si>
  <si>
    <t>co2e_metric_tons_total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</si>
</sst>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yyyy\-mm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5" fontId="0" fillId="0" borderId="0" xfId="0" applyNumberFormat="1"/>
    <xf numFmtId="2" fontId="0" fillId="0" borderId="0" xfId="1" applyNumberFormat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7ADF-FC90-E648-B37C-95C0A9901866}">
  <dimension ref="A1:J15"/>
  <sheetViews>
    <sheetView workbookViewId="0">
      <selection activeCell="D15" sqref="D15"/>
    </sheetView>
  </sheetViews>
  <sheetFormatPr baseColWidth="10" defaultRowHeight="16" x14ac:dyDescent="0.2"/>
  <cols>
    <col min="1" max="1" width="9.83203125" bestFit="1" customWidth="1"/>
    <col min="3" max="3" width="9.83203125" bestFit="1" customWidth="1"/>
    <col min="4" max="4" width="10.6640625" style="1" bestFit="1" customWidth="1"/>
    <col min="5" max="5" width="11" bestFit="1" customWidth="1"/>
    <col min="6" max="6" width="9.83203125" bestFit="1" customWidth="1"/>
    <col min="7" max="7" width="9" bestFit="1" customWidth="1"/>
    <col min="8" max="9" width="14.83203125" bestFit="1" customWidth="1"/>
    <col min="10" max="12" width="15.66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</row>
    <row r="2" spans="1:10" x14ac:dyDescent="0.2">
      <c r="A2" s="3">
        <v>45992</v>
      </c>
      <c r="B2" s="2">
        <v>46008</v>
      </c>
      <c r="C2" s="2">
        <v>46020</v>
      </c>
      <c r="D2" s="1" t="s">
        <v>9</v>
      </c>
      <c r="E2">
        <v>50.1</v>
      </c>
      <c r="F2" t="s">
        <v>10</v>
      </c>
      <c r="G2" s="4">
        <v>93.95</v>
      </c>
      <c r="H2" s="5">
        <f>G2/E2</f>
        <v>1.8752495009980039</v>
      </c>
      <c r="I2">
        <v>5.3E-3</v>
      </c>
      <c r="J2">
        <f>E2*I2</f>
        <v>0.26552999999999999</v>
      </c>
    </row>
    <row r="3" spans="1:10" x14ac:dyDescent="0.2">
      <c r="A3" s="3">
        <v>46023</v>
      </c>
      <c r="B3" s="2">
        <v>46021</v>
      </c>
      <c r="C3" s="2">
        <v>46051</v>
      </c>
      <c r="D3" s="1" t="s">
        <v>9</v>
      </c>
      <c r="E3">
        <v>108.7</v>
      </c>
      <c r="F3" t="s">
        <v>10</v>
      </c>
      <c r="G3" s="4">
        <v>171.43</v>
      </c>
      <c r="H3" s="5">
        <f t="shared" ref="H3:H6" si="0">G3/E3</f>
        <v>1.5770929162833487</v>
      </c>
      <c r="I3">
        <v>5.3E-3</v>
      </c>
      <c r="J3">
        <f>E3*I3</f>
        <v>0.57611000000000001</v>
      </c>
    </row>
    <row r="4" spans="1:10" x14ac:dyDescent="0.2">
      <c r="A4" s="3">
        <v>46054</v>
      </c>
      <c r="B4" s="2">
        <v>46052</v>
      </c>
      <c r="C4" s="2">
        <v>46080</v>
      </c>
      <c r="D4" s="1" t="s">
        <v>9</v>
      </c>
      <c r="E4">
        <v>47.3</v>
      </c>
      <c r="F4" t="s">
        <v>10</v>
      </c>
      <c r="G4" s="4">
        <v>92.68</v>
      </c>
      <c r="H4" s="5">
        <f t="shared" si="0"/>
        <v>1.9594080338266386</v>
      </c>
      <c r="I4">
        <v>5.3E-3</v>
      </c>
      <c r="J4">
        <f>E4*I4</f>
        <v>0.25068999999999997</v>
      </c>
    </row>
    <row r="5" spans="1:10" x14ac:dyDescent="0.2">
      <c r="A5" s="3">
        <v>46082</v>
      </c>
      <c r="B5" s="2">
        <v>46081</v>
      </c>
      <c r="C5" s="2">
        <v>46111</v>
      </c>
      <c r="D5" s="1" t="s">
        <v>9</v>
      </c>
      <c r="E5">
        <v>51.2</v>
      </c>
      <c r="F5" t="s">
        <v>10</v>
      </c>
      <c r="G5" s="4">
        <v>97.78</v>
      </c>
      <c r="H5" s="5">
        <f t="shared" si="0"/>
        <v>1.9097656249999999</v>
      </c>
      <c r="I5">
        <v>5.3E-3</v>
      </c>
      <c r="J5">
        <f>E5*I5</f>
        <v>0.27135999999999999</v>
      </c>
    </row>
    <row r="6" spans="1:10" x14ac:dyDescent="0.2">
      <c r="A6" s="3">
        <v>46113</v>
      </c>
      <c r="B6" s="2">
        <v>46112</v>
      </c>
      <c r="C6" s="2">
        <v>46140</v>
      </c>
      <c r="D6" s="1" t="s">
        <v>9</v>
      </c>
      <c r="E6">
        <v>31.6</v>
      </c>
      <c r="F6" t="s">
        <v>10</v>
      </c>
      <c r="G6" s="4">
        <v>66.959999999999994</v>
      </c>
      <c r="H6" s="5">
        <f t="shared" si="0"/>
        <v>2.1189873417721516</v>
      </c>
      <c r="I6">
        <v>5.3E-3</v>
      </c>
      <c r="J6">
        <f>E6*I6</f>
        <v>0.16748000000000002</v>
      </c>
    </row>
    <row r="7" spans="1:10" x14ac:dyDescent="0.2">
      <c r="A7" s="3">
        <v>46143</v>
      </c>
    </row>
    <row r="8" spans="1:10" x14ac:dyDescent="0.2">
      <c r="A8" s="3">
        <v>46174</v>
      </c>
    </row>
    <row r="9" spans="1:10" x14ac:dyDescent="0.2">
      <c r="A9" s="3">
        <v>46204</v>
      </c>
    </row>
    <row r="10" spans="1:10" x14ac:dyDescent="0.2">
      <c r="A10" s="3">
        <v>46235</v>
      </c>
    </row>
    <row r="11" spans="1:10" x14ac:dyDescent="0.2">
      <c r="A11" s="3">
        <v>46266</v>
      </c>
    </row>
    <row r="12" spans="1:10" x14ac:dyDescent="0.2">
      <c r="A12" s="3">
        <v>46296</v>
      </c>
    </row>
    <row r="13" spans="1:10" x14ac:dyDescent="0.2">
      <c r="A13" s="3">
        <v>46327</v>
      </c>
    </row>
    <row r="14" spans="1:10" x14ac:dyDescent="0.2">
      <c r="A14" s="3">
        <v>46357</v>
      </c>
    </row>
    <row r="15" spans="1:10" x14ac:dyDescent="0.2">
      <c r="A15" s="3">
        <v>46388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0B94-4E68-C141-8C6B-CF4D0C9A255D}">
  <dimension ref="A1:J15"/>
  <sheetViews>
    <sheetView tabSelected="1" workbookViewId="0">
      <selection activeCell="F9" sqref="F9"/>
    </sheetView>
  </sheetViews>
  <sheetFormatPr baseColWidth="10" defaultRowHeight="16" x14ac:dyDescent="0.2"/>
  <cols>
    <col min="1" max="1" width="9.83203125" bestFit="1" customWidth="1"/>
    <col min="3" max="3" width="9.83203125" bestFit="1" customWidth="1"/>
    <col min="4" max="4" width="5.83203125" style="1" bestFit="1" customWidth="1"/>
    <col min="5" max="5" width="11" bestFit="1" customWidth="1"/>
    <col min="6" max="6" width="9.83203125" bestFit="1" customWidth="1"/>
    <col min="7" max="7" width="9" bestFit="1" customWidth="1"/>
    <col min="8" max="9" width="14.83203125" bestFit="1" customWidth="1"/>
    <col min="10" max="12" width="15.66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</row>
    <row r="2" spans="1:10" x14ac:dyDescent="0.2">
      <c r="A2" s="3">
        <v>45992</v>
      </c>
      <c r="B2" s="2">
        <v>46008</v>
      </c>
      <c r="C2" s="2">
        <v>46022</v>
      </c>
      <c r="D2" s="1" t="s">
        <v>12</v>
      </c>
      <c r="E2">
        <v>144.5</v>
      </c>
      <c r="F2" t="s">
        <v>13</v>
      </c>
      <c r="G2" s="4">
        <v>35.58</v>
      </c>
      <c r="H2" s="5">
        <f>G2/E2</f>
        <v>0.24622837370242212</v>
      </c>
      <c r="I2">
        <v>2.8800000000000001E-4</v>
      </c>
      <c r="J2">
        <f>I2*E2</f>
        <v>4.1616E-2</v>
      </c>
    </row>
    <row r="3" spans="1:10" x14ac:dyDescent="0.2">
      <c r="A3" s="3">
        <v>46023</v>
      </c>
      <c r="B3" s="2">
        <v>46023</v>
      </c>
      <c r="C3" s="2">
        <v>46058</v>
      </c>
      <c r="D3" s="1" t="s">
        <v>12</v>
      </c>
      <c r="E3">
        <v>144.5</v>
      </c>
      <c r="F3" t="s">
        <v>13</v>
      </c>
      <c r="G3" s="4">
        <v>35.58</v>
      </c>
      <c r="H3" s="5">
        <f t="shared" ref="H3:H6" si="0">G3/E3</f>
        <v>0.24622837370242212</v>
      </c>
      <c r="I3">
        <v>2.8800000000000001E-4</v>
      </c>
      <c r="J3">
        <f t="shared" ref="J3:J6" si="1">I3*E3</f>
        <v>4.1616E-2</v>
      </c>
    </row>
    <row r="4" spans="1:10" x14ac:dyDescent="0.2">
      <c r="A4" s="3">
        <v>46054</v>
      </c>
      <c r="B4" s="2">
        <v>46059</v>
      </c>
      <c r="C4" s="2">
        <v>46078</v>
      </c>
      <c r="D4" s="1" t="s">
        <v>12</v>
      </c>
      <c r="E4">
        <v>128</v>
      </c>
      <c r="F4" t="s">
        <v>13</v>
      </c>
      <c r="G4" s="4">
        <v>35.06</v>
      </c>
      <c r="H4" s="5">
        <f t="shared" si="0"/>
        <v>0.27390625000000002</v>
      </c>
      <c r="I4">
        <v>2.8800000000000001E-4</v>
      </c>
      <c r="J4">
        <f t="shared" si="1"/>
        <v>3.6864000000000001E-2</v>
      </c>
    </row>
    <row r="5" spans="1:10" x14ac:dyDescent="0.2">
      <c r="A5" s="3">
        <v>46082</v>
      </c>
      <c r="B5" s="2">
        <v>46079</v>
      </c>
      <c r="C5" s="2">
        <v>46107</v>
      </c>
      <c r="D5" s="1" t="s">
        <v>12</v>
      </c>
      <c r="E5">
        <v>270</v>
      </c>
      <c r="F5" t="s">
        <v>13</v>
      </c>
      <c r="G5" s="4">
        <v>67.180000000000007</v>
      </c>
      <c r="H5" s="5">
        <f t="shared" si="0"/>
        <v>0.24881481481481485</v>
      </c>
      <c r="I5">
        <v>2.8800000000000001E-4</v>
      </c>
      <c r="J5">
        <f t="shared" si="1"/>
        <v>7.7759999999999996E-2</v>
      </c>
    </row>
    <row r="6" spans="1:10" x14ac:dyDescent="0.2">
      <c r="A6" s="3">
        <v>46113</v>
      </c>
      <c r="B6" s="2">
        <v>46108</v>
      </c>
      <c r="C6" s="2">
        <v>46138</v>
      </c>
      <c r="D6" s="1" t="s">
        <v>12</v>
      </c>
      <c r="E6">
        <v>283</v>
      </c>
      <c r="F6" t="s">
        <v>13</v>
      </c>
      <c r="G6" s="4">
        <v>72.48</v>
      </c>
      <c r="H6" s="5">
        <f t="shared" si="0"/>
        <v>0.256113074204947</v>
      </c>
      <c r="I6">
        <v>2.8800000000000001E-4</v>
      </c>
      <c r="J6">
        <f t="shared" si="1"/>
        <v>8.1504000000000007E-2</v>
      </c>
    </row>
    <row r="7" spans="1:10" x14ac:dyDescent="0.2">
      <c r="A7" s="3">
        <v>46143</v>
      </c>
    </row>
    <row r="8" spans="1:10" x14ac:dyDescent="0.2">
      <c r="A8" s="3">
        <v>46174</v>
      </c>
    </row>
    <row r="9" spans="1:10" x14ac:dyDescent="0.2">
      <c r="A9" s="3">
        <v>46204</v>
      </c>
    </row>
    <row r="10" spans="1:10" x14ac:dyDescent="0.2">
      <c r="A10" s="3">
        <v>46235</v>
      </c>
    </row>
    <row r="11" spans="1:10" x14ac:dyDescent="0.2">
      <c r="A11" s="3">
        <v>46266</v>
      </c>
    </row>
    <row r="12" spans="1:10" x14ac:dyDescent="0.2">
      <c r="A12" s="3">
        <v>46296</v>
      </c>
    </row>
    <row r="13" spans="1:10" x14ac:dyDescent="0.2">
      <c r="A13" s="3">
        <v>46327</v>
      </c>
    </row>
    <row r="14" spans="1:10" x14ac:dyDescent="0.2">
      <c r="A14" s="3">
        <v>46357</v>
      </c>
    </row>
    <row r="15" spans="1:10" x14ac:dyDescent="0.2">
      <c r="A15" s="3">
        <v>46388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8B47-CE3D-334F-8CE0-61141AE520EB}">
  <dimension ref="A1:D6"/>
  <sheetViews>
    <sheetView workbookViewId="0">
      <selection activeCell="C8" sqref="C8"/>
    </sheetView>
  </sheetViews>
  <sheetFormatPr baseColWidth="10" defaultRowHeight="16" x14ac:dyDescent="0.2"/>
  <cols>
    <col min="2" max="2" width="19.33203125" bestFit="1" customWidth="1"/>
    <col min="3" max="3" width="23.1640625" bestFit="1" customWidth="1"/>
    <col min="4" max="4" width="20.5" bestFit="1" customWidth="1"/>
  </cols>
  <sheetData>
    <row r="1" spans="1:4" x14ac:dyDescent="0.2">
      <c r="A1" t="s">
        <v>0</v>
      </c>
      <c r="B1" t="s">
        <v>14</v>
      </c>
      <c r="C1" t="s">
        <v>15</v>
      </c>
      <c r="D1" t="s">
        <v>16</v>
      </c>
    </row>
    <row r="2" spans="1:4" x14ac:dyDescent="0.2">
      <c r="A2" s="3">
        <v>45992</v>
      </c>
      <c r="B2">
        <f>SUMIF(natural_gas!A:A, A2, natural_gas!J:J)</f>
        <v>0.26552999999999999</v>
      </c>
      <c r="C2">
        <f>SUMIF(electric!A:A, A2, electric!J:J)</f>
        <v>4.1616E-2</v>
      </c>
      <c r="D2">
        <f>B2+C2</f>
        <v>0.30714599999999997</v>
      </c>
    </row>
    <row r="3" spans="1:4" x14ac:dyDescent="0.2">
      <c r="A3" s="3">
        <v>46023</v>
      </c>
      <c r="B3">
        <f>SUMIF(natural_gas!A:A, A3, natural_gas!J:J)</f>
        <v>0.57611000000000001</v>
      </c>
      <c r="C3">
        <f>SUMIF(electric!A:A, A3, electric!J:J)</f>
        <v>4.1616E-2</v>
      </c>
      <c r="D3">
        <f t="shared" ref="D3:D6" si="0">B3+C3</f>
        <v>0.617726</v>
      </c>
    </row>
    <row r="4" spans="1:4" x14ac:dyDescent="0.2">
      <c r="A4" s="3">
        <v>46054</v>
      </c>
      <c r="B4">
        <f>SUMIF(natural_gas!A:A, A4, natural_gas!J:J)</f>
        <v>0.25068999999999997</v>
      </c>
      <c r="C4">
        <f>SUMIF(electric!A:A, A4, electric!J:J)</f>
        <v>3.6864000000000001E-2</v>
      </c>
      <c r="D4">
        <f t="shared" si="0"/>
        <v>0.28755399999999998</v>
      </c>
    </row>
    <row r="5" spans="1:4" x14ac:dyDescent="0.2">
      <c r="A5" s="3">
        <v>46082</v>
      </c>
      <c r="B5">
        <f>SUMIF(natural_gas!A:A, A5, natural_gas!J:J)</f>
        <v>0.27135999999999999</v>
      </c>
      <c r="C5">
        <f>SUMIF(electric!A:A, A5, electric!J:J)</f>
        <v>7.7759999999999996E-2</v>
      </c>
      <c r="D5">
        <f t="shared" si="0"/>
        <v>0.34911999999999999</v>
      </c>
    </row>
    <row r="6" spans="1:4" x14ac:dyDescent="0.2">
      <c r="A6" s="3">
        <v>46113</v>
      </c>
      <c r="B6">
        <f>SUMIF(natural_gas!A:A, A6, natural_gas!J:J)</f>
        <v>0.16748000000000002</v>
      </c>
      <c r="C6">
        <f>SUMIF(electric!A:A, A6, electric!J:J)</f>
        <v>8.1504000000000007E-2</v>
      </c>
      <c r="D6">
        <f t="shared" si="0"/>
        <v>0.24898400000000004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natural_gas</vt:lpstr>
      <vt:lpstr>electric</vt:lpstr>
      <vt:lpstr>Monthly Footprint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headlampbooks@gmail.com</dc:creator>
  <cp:lastModifiedBy>headlampbooks@gmail.com</cp:lastModifiedBy>
  <dcterms:created xsi:type="dcterms:W3CDTF">2026-04-30T04:23:19Z</dcterms:created>
  <dcterms:modified xsi:type="dcterms:W3CDTF">2026-04-30T06:37:05Z</dcterms:modified>
</cp:coreProperties>
</file>